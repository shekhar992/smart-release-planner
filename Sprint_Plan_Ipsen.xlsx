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heksharma/Desktop/Code bases/TimelineView/"/>
    </mc:Choice>
  </mc:AlternateContent>
  <xr:revisionPtr revIDLastSave="0" documentId="13_ncr:1_{E3ABC54C-12A8-DB45-90B8-F3626121AE26}" xr6:coauthVersionLast="47" xr6:coauthVersionMax="47" xr10:uidLastSave="{00000000-0000-0000-0000-000000000000}"/>
  <bookViews>
    <workbookView xWindow="0" yWindow="640" windowWidth="34560" windowHeight="19900" xr2:uid="{00000000-000D-0000-FFFF-FFFF00000000}"/>
  </bookViews>
  <sheets>
    <sheet name="Overview" sheetId="1" r:id="rId1"/>
    <sheet name="Sprint Detail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B8" i="1"/>
  <c r="D7" i="1"/>
  <c r="E7" i="1" s="1"/>
  <c r="D6" i="1"/>
  <c r="E6" i="1" l="1"/>
  <c r="C8" i="1"/>
  <c r="D8" i="1" l="1"/>
  <c r="F7" i="1" l="1"/>
  <c r="F6" i="1"/>
  <c r="E8" i="1"/>
</calcChain>
</file>

<file path=xl/sharedStrings.xml><?xml version="1.0" encoding="utf-8"?>
<sst xmlns="http://schemas.openxmlformats.org/spreadsheetml/2006/main" count="161" uniqueCount="104">
  <si>
    <t>Product Release Plan - Ipsen</t>
  </si>
  <si>
    <t>Project Start: 2 March 2026 | Sprint Duration: 2 Weeks</t>
  </si>
  <si>
    <t>Pod Configuration</t>
  </si>
  <si>
    <t>Pod</t>
  </si>
  <si>
    <t>Backend Engineers</t>
  </si>
  <si>
    <t>Frontend Engineers</t>
  </si>
  <si>
    <t>Backend Capacity (SP/Sprint)</t>
  </si>
  <si>
    <t>Frontend Capacity (SP/Sprint)</t>
  </si>
  <si>
    <t>Total Capacity (SP/Sprint)</t>
  </si>
  <si>
    <t>Pod 1</t>
  </si>
  <si>
    <t>Pod 2</t>
  </si>
  <si>
    <t>Total</t>
  </si>
  <si>
    <t>Release Timeline</t>
  </si>
  <si>
    <t>Release</t>
  </si>
  <si>
    <t>Duration</t>
  </si>
  <si>
    <t>Start Date</t>
  </si>
  <si>
    <t>End Date</t>
  </si>
  <si>
    <t>Sprints</t>
  </si>
  <si>
    <t>Goal</t>
  </si>
  <si>
    <t>Release 1</t>
  </si>
  <si>
    <t>6 Weeks</t>
  </si>
  <si>
    <t>10-Apr-26</t>
  </si>
  <si>
    <t>Platform Foundation &amp; Core System</t>
  </si>
  <si>
    <t>Release 2</t>
  </si>
  <si>
    <t>4 Weeks</t>
  </si>
  <si>
    <t>13-Apr-26</t>
  </si>
  <si>
    <t>8-May-26</t>
  </si>
  <si>
    <t>Enterprise Hardening &amp; Intelligence</t>
  </si>
  <si>
    <t>Release 3</t>
  </si>
  <si>
    <t>11-May-26</t>
  </si>
  <si>
    <t>5-Jun-26</t>
  </si>
  <si>
    <t>Optimization &amp; Analytics</t>
  </si>
  <si>
    <t>Sprint Breakdown</t>
  </si>
  <si>
    <t>Sprint 1</t>
  </si>
  <si>
    <t>2-Mar-26 - 13-Mar-26</t>
  </si>
  <si>
    <t>Theme: Infrastructure &amp; Core Setup</t>
  </si>
  <si>
    <t>Track</t>
  </si>
  <si>
    <t>Task</t>
  </si>
  <si>
    <t>Backend</t>
  </si>
  <si>
    <t>Configure AWS Hosting Services</t>
  </si>
  <si>
    <t>Configure Environments &amp; Deployments</t>
  </si>
  <si>
    <t>Backend Setup (BFF Layer)</t>
  </si>
  <si>
    <t>SSO Login (Backend)</t>
  </si>
  <si>
    <t>RBAC (Phase 1)</t>
  </si>
  <si>
    <t>Brand Library (Backend)</t>
  </si>
  <si>
    <t>Document Management (Backend)</t>
  </si>
  <si>
    <t>Frontend</t>
  </si>
  <si>
    <t>SSO Login UI</t>
  </si>
  <si>
    <t>Brand Library UI</t>
  </si>
  <si>
    <t>Document Upload UI</t>
  </si>
  <si>
    <t>Content Collection UI (Basic)</t>
  </si>
  <si>
    <t>Master Story UI (Basic Form)</t>
  </si>
  <si>
    <t>Sprint 2</t>
  </si>
  <si>
    <t>16-Mar-26 - 27-Mar-26</t>
  </si>
  <si>
    <t>Theme: Knowledge Backbone &amp; Governance</t>
  </si>
  <si>
    <t>Complete RBAC</t>
  </si>
  <si>
    <t>Knowledge Base – Ingestion Workflow</t>
  </si>
  <si>
    <t>Content Collection Backend</t>
  </si>
  <si>
    <t>Master Story Completion</t>
  </si>
  <si>
    <t>Dynamic Template Framework (Basic)</t>
  </si>
  <si>
    <t>Knowledge Base UI</t>
  </si>
  <si>
    <t>RBAC Admin UI</t>
  </si>
  <si>
    <t>Dynamic Template UI (Basic)</t>
  </si>
  <si>
    <t>Master Story Enhancements</t>
  </si>
  <si>
    <t>Sprint 3</t>
  </si>
  <si>
    <t>30-Mar-26 - 10-Apr-26</t>
  </si>
  <si>
    <t>Theme: AI Drafting &amp; Agentic Workflow</t>
  </si>
  <si>
    <t>Agentic Framework</t>
  </si>
  <si>
    <t>Text Generation Agents (Core)</t>
  </si>
  <si>
    <t>Agentic Drafting Workflow</t>
  </si>
  <si>
    <t>Template Binding Logic</t>
  </si>
  <si>
    <t>Draft Storage System</t>
  </si>
  <si>
    <t>Drafting UI</t>
  </si>
  <si>
    <t>Template Selection UI</t>
  </si>
  <si>
    <t>Document Preview</t>
  </si>
  <si>
    <t>Edit &amp; Regenerate Controls</t>
  </si>
  <si>
    <t>Sprint 4</t>
  </si>
  <si>
    <t>13-Apr-26 - 24-Apr-26</t>
  </si>
  <si>
    <t>Theme: Enterprise Hardening</t>
  </si>
  <si>
    <t>Localization Framework</t>
  </si>
  <si>
    <t>Multi-region support</t>
  </si>
  <si>
    <t>Performance optimization</t>
  </si>
  <si>
    <t>Prompt refinement</t>
  </si>
  <si>
    <t>Audit Logging</t>
  </si>
  <si>
    <t>Sprint 5</t>
  </si>
  <si>
    <t>27-Apr-26 - 8-May-26</t>
  </si>
  <si>
    <t>Theme: Governance &amp; Workflow</t>
  </si>
  <si>
    <t>Version Control</t>
  </si>
  <si>
    <t>Feedback Loop System</t>
  </si>
  <si>
    <t>Review Workflow</t>
  </si>
  <si>
    <t>Workflow Orchestration Improvements</t>
  </si>
  <si>
    <t>Sprint 6</t>
  </si>
  <si>
    <t>11-May-26 - 22-May-26</t>
  </si>
  <si>
    <t>Theme: AI Optimization</t>
  </si>
  <si>
    <t>Advanced AI Orchestration</t>
  </si>
  <si>
    <t>Content Scoring Framework</t>
  </si>
  <si>
    <t>Quality Metrics</t>
  </si>
  <si>
    <t>Sprint 7</t>
  </si>
  <si>
    <t>25-May-26 - 5-Jun-26</t>
  </si>
  <si>
    <t>Theme: Analytics &amp; Intelligence</t>
  </si>
  <si>
    <t>Analytics Dashboard</t>
  </si>
  <si>
    <t>Usage Metrics</t>
  </si>
  <si>
    <t>Auto-approval Layers</t>
  </si>
  <si>
    <t>Admin Insights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</si>
</sst>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rgb="FF1E2761"/>
      <name val="Calibri"/>
      <family val="2"/>
    </font>
    <font>
      <sz val="11"/>
      <color rgb="FF666666"/>
      <name val="Calibri"/>
      <family val="2"/>
    </font>
    <font>
      <b/>
      <sz val="14"/>
      <color rgb="FF1E276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2809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E8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  <xf numFmtId="0" fontId="4" fillId="2" borderId="0" xfId="0" applyFont="1" applyFill="1"/>
    <xf numFmtId="1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showGridLines="0" tabSelected="1" zoomScale="175" workbookViewId="0">
      <selection activeCell="C12" sqref="C12"/>
    </sheetView>
  </sheetViews>
  <sheetFormatPr baseColWidth="10" defaultColWidth="8.83203125" defaultRowHeight="15" x14ac:dyDescent="0.2"/>
  <cols>
    <col min="1" max="1" width="18" customWidth="1"/>
    <col min="2" max="3" width="22" customWidth="1"/>
    <col min="4" max="4" width="25" customWidth="1"/>
    <col min="5" max="5" width="28" customWidth="1"/>
    <col min="6" max="6" width="35" customWidth="1"/>
  </cols>
  <sheetData>
    <row r="1" spans="1:6" ht="24" x14ac:dyDescent="0.3">
      <c r="A1" s="1" t="s">
        <v>0</v>
      </c>
    </row>
    <row r="2" spans="1:6" x14ac:dyDescent="0.2">
      <c r="A2" s="2" t="s">
        <v>1</v>
      </c>
    </row>
    <row r="4" spans="1:6" ht="19" x14ac:dyDescent="0.25">
      <c r="A4" s="3" t="s">
        <v>2</v>
      </c>
    </row>
    <row r="5" spans="1:6" x14ac:dyDescent="0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x14ac:dyDescent="0.2">
      <c r="A6" s="5" t="s">
        <v>9</v>
      </c>
      <c r="B6" s="6">
        <v>4</v>
      </c>
      <c r="C6" s="6">
        <v>2</v>
      </c>
      <c r="D6" s="6">
        <f>C6*8*2</f>
        <v>32</v>
      </c>
      <c r="E6" s="6">
        <f>D6*8*2</f>
        <v>512</v>
      </c>
      <c r="F6" s="6" t="str">
        <f ca="1">E6+F6</f>
        <v/>
      </c>
    </row>
    <row r="7" spans="1:6" x14ac:dyDescent="0.2">
      <c r="A7" s="5" t="s">
        <v>10</v>
      </c>
      <c r="B7" s="6">
        <v>2</v>
      </c>
      <c r="C7" s="6">
        <v>2</v>
      </c>
      <c r="D7" s="6">
        <f>C7*8*2</f>
        <v>32</v>
      </c>
      <c r="E7" s="6">
        <f>D7*8*2</f>
        <v>512</v>
      </c>
      <c r="F7" s="6" t="str">
        <f ca="1">E7+F7</f>
        <v/>
      </c>
    </row>
    <row r="8" spans="1:6" x14ac:dyDescent="0.2">
      <c r="A8" s="7" t="s">
        <v>11</v>
      </c>
      <c r="B8" s="8">
        <f>SUM(C6:C7)</f>
        <v>4</v>
      </c>
      <c r="C8" s="8">
        <f>SUM(D6:D7)</f>
        <v>64</v>
      </c>
      <c r="D8" s="8">
        <f>SUM(E6:E7)</f>
        <v>1024</v>
      </c>
      <c r="E8" s="8" t="str">
        <f ca="1">SUM(F6:F7)</f>
        <v/>
      </c>
      <c r="F8" s="8">
        <f>SUM(G6:G7)</f>
        <v>0</v>
      </c>
    </row>
    <row r="10" spans="1:6" ht="19" x14ac:dyDescent="0.25">
      <c r="A10" s="3" t="s">
        <v>12</v>
      </c>
    </row>
    <row r="11" spans="1:6" x14ac:dyDescent="0.2">
      <c r="A11" s="4" t="s">
        <v>13</v>
      </c>
      <c r="B11" s="4" t="s">
        <v>14</v>
      </c>
      <c r="C11" s="4" t="s">
        <v>15</v>
      </c>
      <c r="D11" s="4" t="s">
        <v>16</v>
      </c>
      <c r="E11" s="4" t="s">
        <v>17</v>
      </c>
      <c r="F11" s="4" t="s">
        <v>18</v>
      </c>
    </row>
    <row r="12" spans="1:6" x14ac:dyDescent="0.2">
      <c r="A12" s="9" t="s">
        <v>19</v>
      </c>
      <c r="B12" t="s">
        <v>20</v>
      </c>
      <c r="C12" s="12">
        <v>46083</v>
      </c>
      <c r="D12" s="9" t="s">
        <v>21</v>
      </c>
      <c r="E12" s="9">
        <v>3</v>
      </c>
      <c r="F12" t="s">
        <v>22</v>
      </c>
    </row>
    <row r="13" spans="1:6" x14ac:dyDescent="0.2">
      <c r="A13" s="9" t="s">
        <v>23</v>
      </c>
      <c r="B13" t="s">
        <v>24</v>
      </c>
      <c r="C13" s="9" t="s">
        <v>25</v>
      </c>
      <c r="D13" s="9" t="s">
        <v>26</v>
      </c>
      <c r="E13" s="9">
        <v>2</v>
      </c>
      <c r="F13" t="s">
        <v>27</v>
      </c>
    </row>
    <row r="14" spans="1:6" x14ac:dyDescent="0.2">
      <c r="A14" s="9" t="s">
        <v>28</v>
      </c>
      <c r="B14" t="s">
        <v>24</v>
      </c>
      <c r="C14" s="9" t="s">
        <v>29</v>
      </c>
      <c r="D14" s="9" t="s">
        <v>30</v>
      </c>
      <c r="E14" s="9">
        <v>2</v>
      </c>
      <c r="F14" t="s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5"/>
  <sheetViews>
    <sheetView showGridLines="0" topLeftCell="A2" zoomScale="279" workbookViewId="0"/>
  </sheetViews>
  <sheetFormatPr baseColWidth="10" defaultColWidth="8.83203125" defaultRowHeight="15" x14ac:dyDescent="0.2"/>
  <cols>
    <col min="1" max="1" width="15" customWidth="1"/>
    <col min="2" max="2" width="50" customWidth="1"/>
  </cols>
  <sheetData>
    <row r="1" spans="1:2" ht="24" x14ac:dyDescent="0.3">
      <c r="A1" s="1" t="s">
        <v>32</v>
      </c>
    </row>
    <row r="3" spans="1:2" ht="19" x14ac:dyDescent="0.25">
      <c r="A3" s="3" t="s">
        <v>33</v>
      </c>
      <c r="B3" s="2" t="s">
        <v>34</v>
      </c>
    </row>
    <row r="4" spans="1:2" x14ac:dyDescent="0.2">
      <c r="A4" s="10" t="s">
        <v>35</v>
      </c>
    </row>
    <row r="5" spans="1:2" x14ac:dyDescent="0.2">
      <c r="A5" s="11" t="s">
        <v>36</v>
      </c>
      <c r="B5" s="11" t="s">
        <v>37</v>
      </c>
    </row>
    <row r="6" spans="1:2" x14ac:dyDescent="0.2">
      <c r="A6" s="9" t="s">
        <v>38</v>
      </c>
      <c r="B6" t="s">
        <v>39</v>
      </c>
    </row>
    <row r="7" spans="1:2" x14ac:dyDescent="0.2">
      <c r="A7" s="9" t="s">
        <v>38</v>
      </c>
      <c r="B7" t="s">
        <v>40</v>
      </c>
    </row>
    <row r="8" spans="1:2" x14ac:dyDescent="0.2">
      <c r="A8" s="9" t="s">
        <v>38</v>
      </c>
      <c r="B8" t="s">
        <v>41</v>
      </c>
    </row>
    <row r="9" spans="1:2" x14ac:dyDescent="0.2">
      <c r="A9" s="9" t="s">
        <v>38</v>
      </c>
      <c r="B9" t="s">
        <v>42</v>
      </c>
    </row>
    <row r="10" spans="1:2" x14ac:dyDescent="0.2">
      <c r="A10" s="9" t="s">
        <v>38</v>
      </c>
      <c r="B10" t="s">
        <v>43</v>
      </c>
    </row>
    <row r="11" spans="1:2" x14ac:dyDescent="0.2">
      <c r="A11" s="9" t="s">
        <v>38</v>
      </c>
      <c r="B11" t="s">
        <v>44</v>
      </c>
    </row>
    <row r="12" spans="1:2" x14ac:dyDescent="0.2">
      <c r="A12" s="9" t="s">
        <v>38</v>
      </c>
      <c r="B12" t="s">
        <v>45</v>
      </c>
    </row>
    <row r="13" spans="1:2" x14ac:dyDescent="0.2">
      <c r="A13" s="9" t="s">
        <v>46</v>
      </c>
      <c r="B13" t="s">
        <v>47</v>
      </c>
    </row>
    <row r="14" spans="1:2" x14ac:dyDescent="0.2">
      <c r="A14" s="9" t="s">
        <v>46</v>
      </c>
      <c r="B14" t="s">
        <v>48</v>
      </c>
    </row>
    <row r="15" spans="1:2" x14ac:dyDescent="0.2">
      <c r="A15" s="9" t="s">
        <v>46</v>
      </c>
      <c r="B15" t="s">
        <v>49</v>
      </c>
    </row>
    <row r="16" spans="1:2" x14ac:dyDescent="0.2">
      <c r="A16" s="9" t="s">
        <v>46</v>
      </c>
      <c r="B16" t="s">
        <v>50</v>
      </c>
    </row>
    <row r="17" spans="1:2" x14ac:dyDescent="0.2">
      <c r="A17" s="9" t="s">
        <v>46</v>
      </c>
      <c r="B17" t="s">
        <v>51</v>
      </c>
    </row>
    <row r="19" spans="1:2" ht="19" x14ac:dyDescent="0.25">
      <c r="A19" s="3" t="s">
        <v>52</v>
      </c>
      <c r="B19" s="2" t="s">
        <v>53</v>
      </c>
    </row>
    <row r="20" spans="1:2" x14ac:dyDescent="0.2">
      <c r="A20" s="10" t="s">
        <v>54</v>
      </c>
    </row>
    <row r="21" spans="1:2" x14ac:dyDescent="0.2">
      <c r="A21" s="11" t="s">
        <v>36</v>
      </c>
      <c r="B21" s="11" t="s">
        <v>37</v>
      </c>
    </row>
    <row r="22" spans="1:2" x14ac:dyDescent="0.2">
      <c r="A22" s="9" t="s">
        <v>38</v>
      </c>
      <c r="B22" t="s">
        <v>55</v>
      </c>
    </row>
    <row r="23" spans="1:2" x14ac:dyDescent="0.2">
      <c r="A23" s="9" t="s">
        <v>38</v>
      </c>
      <c r="B23" t="s">
        <v>56</v>
      </c>
    </row>
    <row r="24" spans="1:2" x14ac:dyDescent="0.2">
      <c r="A24" s="9" t="s">
        <v>38</v>
      </c>
      <c r="B24" t="s">
        <v>57</v>
      </c>
    </row>
    <row r="25" spans="1:2" x14ac:dyDescent="0.2">
      <c r="A25" s="9" t="s">
        <v>38</v>
      </c>
      <c r="B25" t="s">
        <v>58</v>
      </c>
    </row>
    <row r="26" spans="1:2" x14ac:dyDescent="0.2">
      <c r="A26" s="9" t="s">
        <v>38</v>
      </c>
      <c r="B26" t="s">
        <v>59</v>
      </c>
    </row>
    <row r="27" spans="1:2" x14ac:dyDescent="0.2">
      <c r="A27" s="9" t="s">
        <v>46</v>
      </c>
      <c r="B27" t="s">
        <v>60</v>
      </c>
    </row>
    <row r="28" spans="1:2" x14ac:dyDescent="0.2">
      <c r="A28" s="9" t="s">
        <v>46</v>
      </c>
      <c r="B28" t="s">
        <v>61</v>
      </c>
    </row>
    <row r="29" spans="1:2" x14ac:dyDescent="0.2">
      <c r="A29" s="9" t="s">
        <v>46</v>
      </c>
      <c r="B29" t="s">
        <v>62</v>
      </c>
    </row>
    <row r="30" spans="1:2" x14ac:dyDescent="0.2">
      <c r="A30" s="9" t="s">
        <v>46</v>
      </c>
      <c r="B30" t="s">
        <v>63</v>
      </c>
    </row>
    <row r="32" spans="1:2" ht="19" x14ac:dyDescent="0.25">
      <c r="A32" s="3" t="s">
        <v>64</v>
      </c>
      <c r="B32" s="2" t="s">
        <v>65</v>
      </c>
    </row>
    <row r="33" spans="1:2" x14ac:dyDescent="0.2">
      <c r="A33" s="10" t="s">
        <v>66</v>
      </c>
    </row>
    <row r="34" spans="1:2" x14ac:dyDescent="0.2">
      <c r="A34" s="11" t="s">
        <v>36</v>
      </c>
      <c r="B34" s="11" t="s">
        <v>37</v>
      </c>
    </row>
    <row r="35" spans="1:2" x14ac:dyDescent="0.2">
      <c r="A35" s="9" t="s">
        <v>38</v>
      </c>
      <c r="B35" t="s">
        <v>67</v>
      </c>
    </row>
    <row r="36" spans="1:2" x14ac:dyDescent="0.2">
      <c r="A36" s="9" t="s">
        <v>38</v>
      </c>
      <c r="B36" t="s">
        <v>68</v>
      </c>
    </row>
    <row r="37" spans="1:2" x14ac:dyDescent="0.2">
      <c r="A37" s="9" t="s">
        <v>38</v>
      </c>
      <c r="B37" t="s">
        <v>69</v>
      </c>
    </row>
    <row r="38" spans="1:2" x14ac:dyDescent="0.2">
      <c r="A38" s="9" t="s">
        <v>38</v>
      </c>
      <c r="B38" t="s">
        <v>70</v>
      </c>
    </row>
    <row r="39" spans="1:2" x14ac:dyDescent="0.2">
      <c r="A39" s="9" t="s">
        <v>38</v>
      </c>
      <c r="B39" t="s">
        <v>71</v>
      </c>
    </row>
    <row r="40" spans="1:2" x14ac:dyDescent="0.2">
      <c r="A40" s="9" t="s">
        <v>46</v>
      </c>
      <c r="B40" t="s">
        <v>72</v>
      </c>
    </row>
    <row r="41" spans="1:2" x14ac:dyDescent="0.2">
      <c r="A41" s="9" t="s">
        <v>46</v>
      </c>
      <c r="B41" t="s">
        <v>73</v>
      </c>
    </row>
    <row r="42" spans="1:2" x14ac:dyDescent="0.2">
      <c r="A42" s="9" t="s">
        <v>46</v>
      </c>
      <c r="B42" t="s">
        <v>74</v>
      </c>
    </row>
    <row r="43" spans="1:2" x14ac:dyDescent="0.2">
      <c r="A43" s="9" t="s">
        <v>46</v>
      </c>
      <c r="B43" t="s">
        <v>75</v>
      </c>
    </row>
    <row r="45" spans="1:2" ht="19" x14ac:dyDescent="0.25">
      <c r="A45" s="3" t="s">
        <v>76</v>
      </c>
      <c r="B45" s="2" t="s">
        <v>77</v>
      </c>
    </row>
    <row r="46" spans="1:2" x14ac:dyDescent="0.2">
      <c r="A46" s="10" t="s">
        <v>78</v>
      </c>
    </row>
    <row r="47" spans="1:2" x14ac:dyDescent="0.2">
      <c r="A47" s="11" t="s">
        <v>36</v>
      </c>
      <c r="B47" s="11" t="s">
        <v>37</v>
      </c>
    </row>
    <row r="48" spans="1:2" x14ac:dyDescent="0.2">
      <c r="A48" s="9" t="s">
        <v>38</v>
      </c>
      <c r="B48" t="s">
        <v>79</v>
      </c>
    </row>
    <row r="49" spans="1:2" x14ac:dyDescent="0.2">
      <c r="A49" s="9" t="s">
        <v>38</v>
      </c>
      <c r="B49" t="s">
        <v>80</v>
      </c>
    </row>
    <row r="50" spans="1:2" x14ac:dyDescent="0.2">
      <c r="A50" s="9" t="s">
        <v>38</v>
      </c>
      <c r="B50" t="s">
        <v>81</v>
      </c>
    </row>
    <row r="51" spans="1:2" x14ac:dyDescent="0.2">
      <c r="A51" s="9" t="s">
        <v>38</v>
      </c>
      <c r="B51" t="s">
        <v>82</v>
      </c>
    </row>
    <row r="52" spans="1:2" x14ac:dyDescent="0.2">
      <c r="A52" s="9" t="s">
        <v>38</v>
      </c>
      <c r="B52" t="s">
        <v>83</v>
      </c>
    </row>
    <row r="54" spans="1:2" ht="19" x14ac:dyDescent="0.25">
      <c r="A54" s="3" t="s">
        <v>84</v>
      </c>
      <c r="B54" s="2" t="s">
        <v>85</v>
      </c>
    </row>
    <row r="55" spans="1:2" x14ac:dyDescent="0.2">
      <c r="A55" s="10" t="s">
        <v>86</v>
      </c>
    </row>
    <row r="56" spans="1:2" x14ac:dyDescent="0.2">
      <c r="A56" s="11" t="s">
        <v>36</v>
      </c>
      <c r="B56" s="11" t="s">
        <v>37</v>
      </c>
    </row>
    <row r="57" spans="1:2" x14ac:dyDescent="0.2">
      <c r="A57" s="9" t="s">
        <v>38</v>
      </c>
      <c r="B57" t="s">
        <v>87</v>
      </c>
    </row>
    <row r="58" spans="1:2" x14ac:dyDescent="0.2">
      <c r="A58" s="9" t="s">
        <v>38</v>
      </c>
      <c r="B58" t="s">
        <v>88</v>
      </c>
    </row>
    <row r="59" spans="1:2" x14ac:dyDescent="0.2">
      <c r="A59" s="9" t="s">
        <v>38</v>
      </c>
      <c r="B59" t="s">
        <v>89</v>
      </c>
    </row>
    <row r="60" spans="1:2" x14ac:dyDescent="0.2">
      <c r="A60" s="9" t="s">
        <v>38</v>
      </c>
      <c r="B60" t="s">
        <v>90</v>
      </c>
    </row>
    <row r="62" spans="1:2" ht="19" x14ac:dyDescent="0.25">
      <c r="A62" s="3" t="s">
        <v>91</v>
      </c>
      <c r="B62" s="2" t="s">
        <v>92</v>
      </c>
    </row>
    <row r="63" spans="1:2" x14ac:dyDescent="0.2">
      <c r="A63" s="10" t="s">
        <v>93</v>
      </c>
    </row>
    <row r="64" spans="1:2" x14ac:dyDescent="0.2">
      <c r="A64" s="11" t="s">
        <v>36</v>
      </c>
      <c r="B64" s="11" t="s">
        <v>37</v>
      </c>
    </row>
    <row r="65" spans="1:2" x14ac:dyDescent="0.2">
      <c r="A65" s="9" t="s">
        <v>38</v>
      </c>
      <c r="B65" t="s">
        <v>94</v>
      </c>
    </row>
    <row r="66" spans="1:2" x14ac:dyDescent="0.2">
      <c r="A66" s="9" t="s">
        <v>38</v>
      </c>
      <c r="B66" t="s">
        <v>95</v>
      </c>
    </row>
    <row r="67" spans="1:2" x14ac:dyDescent="0.2">
      <c r="A67" s="9" t="s">
        <v>38</v>
      </c>
      <c r="B67" t="s">
        <v>96</v>
      </c>
    </row>
    <row r="69" spans="1:2" ht="19" x14ac:dyDescent="0.25">
      <c r="A69" s="3" t="s">
        <v>97</v>
      </c>
      <c r="B69" s="2" t="s">
        <v>98</v>
      </c>
    </row>
    <row r="70" spans="1:2" x14ac:dyDescent="0.2">
      <c r="A70" s="10" t="s">
        <v>99</v>
      </c>
    </row>
    <row r="71" spans="1:2" x14ac:dyDescent="0.2">
      <c r="A71" s="11" t="s">
        <v>36</v>
      </c>
      <c r="B71" s="11" t="s">
        <v>37</v>
      </c>
    </row>
    <row r="72" spans="1:2" x14ac:dyDescent="0.2">
      <c r="A72" s="9" t="s">
        <v>38</v>
      </c>
      <c r="B72" t="s">
        <v>100</v>
      </c>
    </row>
    <row r="73" spans="1:2" x14ac:dyDescent="0.2">
      <c r="A73" s="9" t="s">
        <v>38</v>
      </c>
      <c r="B73" t="s">
        <v>101</v>
      </c>
    </row>
    <row r="74" spans="1:2" x14ac:dyDescent="0.2">
      <c r="A74" s="9" t="s">
        <v>38</v>
      </c>
      <c r="B74" t="s">
        <v>102</v>
      </c>
    </row>
    <row r="75" spans="1:2" x14ac:dyDescent="0.2">
      <c r="A75" s="9" t="s">
        <v>46</v>
      </c>
      <c r="B75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Sprint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Sharma, Shekhar Manoj</cp:lastModifiedBy>
  <dcterms:created xsi:type="dcterms:W3CDTF">2026-02-12T16:13:13Z</dcterms:created>
  <dcterms:modified xsi:type="dcterms:W3CDTF">2026-02-12T16:40:32Z</dcterms:modified>
</cp:coreProperties>
</file>